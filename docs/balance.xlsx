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XP Curve" sheetId="2" state="visible" r:id="rId4"/>
    <sheet name="Run Timeline" sheetId="3" state="visible" r:id="rId5"/>
    <sheet name="Enemy Scaling" sheetId="4" state="visible" r:id="rId6"/>
    <sheet name="Pick Composition" sheetId="5" state="visible" r:id="rId7"/>
    <sheet name="Passive Pool" sheetId="6" state="visible" r:id="rId8"/>
    <sheet name="Hammer Poo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<sst xmlns="http://schemas.openxmlformats.org/spreadsheetml/2006/main" count="203" uniqueCount="175">
  <si>
    <t xml:space="preserve">APEX — Balance Sheet</t>
  </si>
  <si>
    <t xml:space="preserve">Blue cells are inputs you tune. Black cells are formulas. Green cells pull from other sheets. Edit blue cells, values recalculate.</t>
  </si>
  <si>
    <t xml:space="preserve">Design Targets</t>
  </si>
  <si>
    <t xml:space="preserve">Target Run Length (min)</t>
  </si>
  <si>
    <t xml:space="preserve">Target Standard-Run Final Level</t>
  </si>
  <si>
    <t xml:space="preserve">Hammer Share of Picks</t>
  </si>
  <si>
    <t xml:space="preserve">1-in-3 picks contain a hammer on average</t>
  </si>
  <si>
    <t xml:space="preserve">XP Curve Knobs</t>
  </si>
  <si>
    <t xml:space="preserve">XP To Reach Level 2 (base)</t>
  </si>
  <si>
    <t xml:space="preserve">XP Growth Factor Per Level</t>
  </si>
  <si>
    <t xml:space="preserve">Each level requires this × the previous level's XP. 1.15 = +15% per level.</t>
  </si>
  <si>
    <t xml:space="preserve">Kill Rate &amp; XP Economy</t>
  </si>
  <si>
    <t xml:space="preserve">Avg Enemies Killed Per Minute</t>
  </si>
  <si>
    <t xml:space="preserve">Avg XP Per Enemy Kill</t>
  </si>
  <si>
    <t xml:space="preserve">Weighted average across all archetypes. Tune so 'Required Avg XP / Kill' (below) matches this.</t>
  </si>
  <si>
    <t xml:space="preserve">Derived — Sanity Checks</t>
  </si>
  <si>
    <t xml:space="preserve">Average Seconds Per Level</t>
  </si>
  <si>
    <t xml:space="preserve">How often the level-up popup fires at target pace</t>
  </si>
  <si>
    <t xml:space="preserve">Total XP To Reach Final Level</t>
  </si>
  <si>
    <t xml:space="preserve">Cumulative XP from level 1 to final level; pulls from XP Curve sheet</t>
  </si>
  <si>
    <t xml:space="preserve">Expected Total Kills Per Run</t>
  </si>
  <si>
    <t xml:space="preserve">Required Avg XP Per Kill</t>
  </si>
  <si>
    <t xml:space="preserve">If this ≠ the 'Avg XP Per Enemy Kill' input, re-tune.</t>
  </si>
  <si>
    <t xml:space="preserve">Variance vs Input (should be ≈0)</t>
  </si>
  <si>
    <t xml:space="preserve">Pick Composition Summary</t>
  </si>
  <si>
    <t xml:space="preserve">Total Picks Per Standard Run</t>
  </si>
  <si>
    <t xml:space="preserve">Expected Hammer Picks</t>
  </si>
  <si>
    <t xml:space="preserve">Expected Passive Picks</t>
  </si>
  <si>
    <t xml:space="preserve">XP Required Per Level</t>
  </si>
  <si>
    <t xml:space="preserve">Level</t>
  </si>
  <si>
    <t xml:space="preserve">XP To Next Level</t>
  </si>
  <si>
    <t xml:space="preserve">Cumulative XP</t>
  </si>
  <si>
    <t xml:space="preserve">% of Total</t>
  </si>
  <si>
    <t xml:space="preserve">Approx Time (min)</t>
  </si>
  <si>
    <t xml:space="preserve">The 'cumulative' at Level N-1 is the total XP needed to REACH level N. Target final level's row shows the total XP budget.</t>
  </si>
  <si>
    <t xml:space="preserve">Per-Minute Run Projection</t>
  </si>
  <si>
    <t xml:space="preserve">Projects level, spawn multipliers, and enemy scaling at each minute mark. Assumes linear kill rate and constant XP-per-kill.</t>
  </si>
  <si>
    <t xml:space="preserve">Minute</t>
  </si>
  <si>
    <t xml:space="preserve">Cumulative Kills</t>
  </si>
  <si>
    <t xml:space="preserve">Projected Level</t>
  </si>
  <si>
    <t xml:space="preserve">Spawn Multiplier</t>
  </si>
  <si>
    <t xml:space="preserve">Enemy HP Multiplier</t>
  </si>
  <si>
    <t xml:space="preserve">Enemy DMG Multiplier</t>
  </si>
  <si>
    <t xml:space="preserve">The scaling curves (columns E, F, G) are placeholders. Replace with real designer-authored curves when playtested.</t>
  </si>
  <si>
    <t xml:space="preserve">Enemy Archetype Base Stats &amp; Scaling</t>
  </si>
  <si>
    <t xml:space="preserve">Archetype</t>
  </si>
  <si>
    <t xml:space="preserve">Base HP</t>
  </si>
  <si>
    <t xml:space="preserve">Base Damage</t>
  </si>
  <si>
    <t xml:space="preserve">Base Speed</t>
  </si>
  <si>
    <t xml:space="preserve">XP On Kill</t>
  </si>
  <si>
    <t xml:space="preserve">Spawn Weight</t>
  </si>
  <si>
    <t xml:space="preserve">HP Scale Exp</t>
  </si>
  <si>
    <t xml:space="preserve">Notes</t>
  </si>
  <si>
    <t xml:space="preserve">Melee</t>
  </si>
  <si>
    <t xml:space="preserve">Chase + contact. Bulk of swarm.</t>
  </si>
  <si>
    <t xml:space="preserve">Ranged</t>
  </si>
  <si>
    <t xml:space="preserve">Kites, fires projectiles.</t>
  </si>
  <si>
    <t xml:space="preserve">Magic</t>
  </si>
  <si>
    <t xml:space="preserve">Zone control, status effects.</t>
  </si>
  <si>
    <t xml:space="preserve">Elite</t>
  </si>
  <si>
    <t xml:space="preserve">Modifies swarm behavior.</t>
  </si>
  <si>
    <t xml:space="preserve">Boss</t>
  </si>
  <si>
    <t xml:space="preserve">Era interruptor or climax.</t>
  </si>
  <si>
    <t xml:space="preserve">Weighted Avg XP / Kill (check)</t>
  </si>
  <si>
    <t xml:space="preserve">Should approximately match Overview!B15 (avg XP/kill input). Tune individual XP drops to match.</t>
  </si>
  <si>
    <t xml:space="preserve">Level-Up Pick Composition</t>
  </si>
  <si>
    <t xml:space="preserve">For each level band, defines the odds of a slot being a passive vs a hammer, and the rarity tier mix.</t>
  </si>
  <si>
    <t xml:space="preserve">Level Band</t>
  </si>
  <si>
    <t xml:space="preserve">Common %</t>
  </si>
  <si>
    <t xml:space="preserve">Rare %</t>
  </si>
  <si>
    <t xml:space="preserve">Epic %</t>
  </si>
  <si>
    <t xml:space="preserve">P(Passive)</t>
  </si>
  <si>
    <t xml:space="preserve">P(Hammer)</t>
  </si>
  <si>
    <t xml:space="preserve">Early (1-8)</t>
  </si>
  <si>
    <t xml:space="preserve">Mostly commons. Hammer rate locked to the overall target.</t>
  </si>
  <si>
    <t xml:space="preserve">Mid (9-16)</t>
  </si>
  <si>
    <t xml:space="preserve">Rares ramp up. Epics rare but present.</t>
  </si>
  <si>
    <t xml:space="preserve">Late (17-25)</t>
  </si>
  <si>
    <t xml:space="preserve">Epics appear routinely. Builds mature.</t>
  </si>
  <si>
    <t xml:space="preserve">Rarity Sum Check (should all be 100%)</t>
  </si>
  <si>
    <t xml:space="preserve">Passive Pool — Draft</t>
  </si>
  <si>
    <t xml:space="preserve">Seed list for Claude Code to author as ScriptableObjects. Fill in effects, authored numbers come from here later.</t>
  </si>
  <si>
    <t xml:space="preserve">ID</t>
  </si>
  <si>
    <t xml:space="preserve">Rarity</t>
  </si>
  <si>
    <t xml:space="preserve">Tags</t>
  </si>
  <si>
    <t xml:space="preserve">Effect Summary</t>
  </si>
  <si>
    <t xml:space="preserve">Ravenous</t>
  </si>
  <si>
    <t xml:space="preserve">Common</t>
  </si>
  <si>
    <t xml:space="preserve">[OnKill][Heal]</t>
  </si>
  <si>
    <t xml:space="preserve">Heal 1 HP on kill.</t>
  </si>
  <si>
    <t xml:space="preserve">Basic sustain.</t>
  </si>
  <si>
    <t xml:space="preserve">Sharper Teeth</t>
  </si>
  <si>
    <t xml:space="preserve">[Melee][DamageMult]</t>
  </si>
  <si>
    <t xml:space="preserve">+10% damage to [Melee] attacks.</t>
  </si>
  <si>
    <t xml:space="preserve">Tag-filtered damage scale.</t>
  </si>
  <si>
    <t xml:space="preserve">Swift</t>
  </si>
  <si>
    <t xml:space="preserve">[Stat][MoveSpeed]</t>
  </si>
  <si>
    <t xml:space="preserve">+5% move speed.</t>
  </si>
  <si>
    <t xml:space="preserve">Stat stack.</t>
  </si>
  <si>
    <t xml:space="preserve">Quick Biter</t>
  </si>
  <si>
    <t xml:space="preserve">[Passive][Melee][Rate]</t>
  </si>
  <si>
    <t xml:space="preserve">Passive melee stream ticks 10% faster.</t>
  </si>
  <si>
    <t xml:space="preserve">Tunes passive stream.</t>
  </si>
  <si>
    <t xml:space="preserve">Acid Spray</t>
  </si>
  <si>
    <t xml:space="preserve">Rare</t>
  </si>
  <si>
    <t xml:space="preserve">[Acid][OnHit][AoE]</t>
  </si>
  <si>
    <t xml:space="preserve">On hit, [Acid] attacks splash 20% dmg in 1.5m.</t>
  </si>
  <si>
    <t xml:space="preserve">AoE add-on for Spit + Field.</t>
  </si>
  <si>
    <t xml:space="preserve">Corrosion</t>
  </si>
  <si>
    <t xml:space="preserve">[Acid][Burn]</t>
  </si>
  <si>
    <t xml:space="preserve">Targets hit by [Acid] take 3dps for 2s.</t>
  </si>
  <si>
    <t xml:space="preserve">DoT layer for Acid tag.</t>
  </si>
  <si>
    <t xml:space="preserve">Pulse Overlap</t>
  </si>
  <si>
    <t xml:space="preserve">[Nova][Radius]</t>
  </si>
  <si>
    <t xml:space="preserve">[Nova] attacks gain +25% radius.</t>
  </si>
  <si>
    <t xml:space="preserve">Tunes Pulse explicitly.</t>
  </si>
  <si>
    <t xml:space="preserve">Field Lingering</t>
  </si>
  <si>
    <t xml:space="preserve">[Persistent][Duration]</t>
  </si>
  <si>
    <t xml:space="preserve">[Persistent] zones last +30% longer.</t>
  </si>
  <si>
    <t xml:space="preserve">Tunes Field.</t>
  </si>
  <si>
    <t xml:space="preserve">Apex Hunger</t>
  </si>
  <si>
    <t xml:space="preserve">Epic</t>
  </si>
  <si>
    <t xml:space="preserve">[OnKill][XPMult]</t>
  </si>
  <si>
    <t xml:space="preserve">+20% XP gained.</t>
  </si>
  <si>
    <t xml:space="preserve">Accelerates level pacing.</t>
  </si>
  <si>
    <t xml:space="preserve">Swarm Rend</t>
  </si>
  <si>
    <t xml:space="preserve">[OnHit][Chain]</t>
  </si>
  <si>
    <t xml:space="preserve">Lunge hits chain to 1 additional target.</t>
  </si>
  <si>
    <t xml:space="preserve">Upgrade archetype of Lunge.</t>
  </si>
  <si>
    <t xml:space="preserve">Voidburst</t>
  </si>
  <si>
    <t xml:space="preserve">[Void][OnLevel]</t>
  </si>
  <si>
    <t xml:space="preserve">On level-up, deal 50 [Void] dmg to all on-screen.</t>
  </si>
  <si>
    <t xml:space="preserve">Level-up becomes a weapon.</t>
  </si>
  <si>
    <t xml:space="preserve">Consuming Wave</t>
  </si>
  <si>
    <t xml:space="preserve">[Nova][Heal]</t>
  </si>
  <si>
    <t xml:space="preserve">[Nova] hits heal 1 HP per enemy hit.</t>
  </si>
  <si>
    <t xml:space="preserve">Pulse becomes sustain tool.</t>
  </si>
  <si>
    <t xml:space="preserve">Hammer Pool — Draft</t>
  </si>
  <si>
    <t xml:space="preserve">Hammers mutate one of the four core attacks. Target attack is fixed per hammer. More rare than passives by design.</t>
  </si>
  <si>
    <t xml:space="preserve">Target Attack</t>
  </si>
  <si>
    <t xml:space="preserve">Tags Added</t>
  </si>
  <si>
    <t xml:space="preserve">Ignite Lunge</t>
  </si>
  <si>
    <t xml:space="preserve">Lunge</t>
  </si>
  <si>
    <t xml:space="preserve">[Fire][Burn]</t>
  </si>
  <si>
    <t xml:space="preserve">Lunge ignites targets for 5dps over 3s.</t>
  </si>
  <si>
    <t xml:space="preserve">First Fire-tag entrant.</t>
  </si>
  <si>
    <t xml:space="preserve">Twin Spit</t>
  </si>
  <si>
    <t xml:space="preserve">Spit</t>
  </si>
  <si>
    <t xml:space="preserve">Spit fires 2 projectiles in a narrow cone.</t>
  </si>
  <si>
    <t xml:space="preserve">Projectile multiplier.</t>
  </si>
  <si>
    <t xml:space="preserve">Ringing Pulse</t>
  </si>
  <si>
    <t xml:space="preserve">Pulse</t>
  </si>
  <si>
    <t xml:space="preserve">Pulse fires a second smaller ring 0.25s later.</t>
  </si>
  <si>
    <t xml:space="preserve">Pulse multi-wave.</t>
  </si>
  <si>
    <t xml:space="preserve">Sticky Field</t>
  </si>
  <si>
    <t xml:space="preserve">Field</t>
  </si>
  <si>
    <t xml:space="preserve">[Slow]</t>
  </si>
  <si>
    <t xml:space="preserve">Corrosive Field slows enemies inside by 30%.</t>
  </si>
  <si>
    <t xml:space="preserve">Field adds utility.</t>
  </si>
  <si>
    <t xml:space="preserve">Harpoon Lunge</t>
  </si>
  <si>
    <t xml:space="preserve">[Projectile][Chain]</t>
  </si>
  <si>
    <t xml:space="preserve">Lunge becomes a thrown tendril; hits chain to 2.</t>
  </si>
  <si>
    <t xml:space="preserve">Dash → projectile conversion.</t>
  </si>
  <si>
    <t xml:space="preserve">Pressurized Spit</t>
  </si>
  <si>
    <t xml:space="preserve">[Pierce]</t>
  </si>
  <si>
    <t xml:space="preserve">Spit pierces through enemies up to 3 times.</t>
  </si>
  <si>
    <t xml:space="preserve">Anti-density.</t>
  </si>
  <si>
    <t xml:space="preserve">Gravity Pulse</t>
  </si>
  <si>
    <t xml:space="preserve">[Pull]</t>
  </si>
  <si>
    <t xml:space="preserve">Pulse pulls enemies toward player before damaging.</t>
  </si>
  <si>
    <t xml:space="preserve">Crowd control hammer.</t>
  </si>
  <si>
    <t xml:space="preserve">Infecting Field</t>
  </si>
  <si>
    <t xml:space="preserve">[Spread]</t>
  </si>
  <si>
    <t xml:space="preserve">Enemies leaving Field carry a mini-field for 2s.</t>
  </si>
  <si>
    <t xml:space="preserve">Field → mobile.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</si>
</sst>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00"/>
    <numFmt numFmtId="168" formatCode="0.00"/>
    <numFmt numFmtId="169" formatCode="0.0"/>
    <numFmt numFmtId="170" formatCode="0.00;\(0.00\);&quot;OK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15</v>
      </c>
    </row>
    <row r="6" customFormat="false" ht="15" hidden="false" customHeight="false" outlineLevel="0" collapsed="false">
      <c r="A6" s="4" t="s">
        <v>4</v>
      </c>
      <c r="B6" s="5" t="n">
        <v>25</v>
      </c>
    </row>
    <row r="7" customFormat="false" ht="15" hidden="false" customHeight="false" outlineLevel="0" collapsed="false">
      <c r="A7" s="4" t="s">
        <v>5</v>
      </c>
      <c r="B7" s="6" t="n">
        <v>0.333</v>
      </c>
      <c r="D7" s="2" t="s">
        <v>6</v>
      </c>
    </row>
    <row r="9" customFormat="false" ht="18" hidden="false" customHeight="true" outlineLevel="0" collapsed="false">
      <c r="A9" s="3" t="s">
        <v>7</v>
      </c>
      <c r="B9" s="3"/>
      <c r="C9" s="3"/>
      <c r="D9" s="3"/>
    </row>
    <row r="10" customFormat="false" ht="15" hidden="false" customHeight="false" outlineLevel="0" collapsed="false">
      <c r="A10" s="4" t="s">
        <v>8</v>
      </c>
      <c r="B10" s="5" t="n">
        <v>10</v>
      </c>
    </row>
    <row r="11" customFormat="false" ht="15" hidden="false" customHeight="false" outlineLevel="0" collapsed="false">
      <c r="A11" s="4" t="s">
        <v>9</v>
      </c>
      <c r="B11" s="7" t="n">
        <v>1.15</v>
      </c>
      <c r="D11" s="2" t="s">
        <v>10</v>
      </c>
    </row>
    <row r="13" customFormat="false" ht="18" hidden="false" customHeight="true" outlineLevel="0" collapsed="false">
      <c r="A13" s="3" t="s">
        <v>11</v>
      </c>
      <c r="B13" s="3"/>
      <c r="C13" s="3"/>
      <c r="D13" s="3"/>
    </row>
    <row r="14" customFormat="false" ht="15" hidden="false" customHeight="false" outlineLevel="0" collapsed="false">
      <c r="A14" s="4" t="s">
        <v>12</v>
      </c>
      <c r="B14" s="5" t="n">
        <v>120</v>
      </c>
    </row>
    <row r="15" customFormat="false" ht="15" hidden="false" customHeight="false" outlineLevel="0" collapsed="false">
      <c r="A15" s="4" t="s">
        <v>13</v>
      </c>
      <c r="B15" s="8" t="n">
        <v>0.7</v>
      </c>
      <c r="D15" s="2" t="s">
        <v>14</v>
      </c>
    </row>
    <row r="17" customFormat="false" ht="18" hidden="false" customHeight="true" outlineLevel="0" collapsed="false">
      <c r="A17" s="3" t="s">
        <v>15</v>
      </c>
      <c r="B17" s="3"/>
      <c r="C17" s="3"/>
      <c r="D17" s="3"/>
    </row>
    <row r="18" customFormat="false" ht="15" hidden="false" customHeight="false" outlineLevel="0" collapsed="false">
      <c r="A18" s="4" t="s">
        <v>16</v>
      </c>
      <c r="B18" s="9" t="n">
        <f aca="false">B5*60/(B6-1)</f>
        <v>37.5</v>
      </c>
      <c r="D18" s="2" t="s">
        <v>17</v>
      </c>
    </row>
    <row r="19" customFormat="false" ht="15" hidden="false" customHeight="false" outlineLevel="0" collapsed="false">
      <c r="A19" s="4" t="s">
        <v>18</v>
      </c>
      <c r="B19" s="10" t="n">
        <f aca="false">'XP Curve'!C27</f>
        <v>1841.67841274143</v>
      </c>
      <c r="D19" s="2" t="s">
        <v>19</v>
      </c>
    </row>
    <row r="20" customFormat="false" ht="15" hidden="false" customHeight="false" outlineLevel="0" collapsed="false">
      <c r="A20" s="4" t="s">
        <v>20</v>
      </c>
      <c r="B20" s="11" t="n">
        <f aca="false">B5*B14</f>
        <v>1800</v>
      </c>
    </row>
    <row r="21" customFormat="false" ht="15" hidden="false" customHeight="false" outlineLevel="0" collapsed="false">
      <c r="A21" s="4" t="s">
        <v>21</v>
      </c>
      <c r="B21" s="12" t="n">
        <f aca="false">B19/B20</f>
        <v>1.02315467374524</v>
      </c>
      <c r="D21" s="2" t="s">
        <v>22</v>
      </c>
    </row>
    <row r="22" customFormat="false" ht="15" hidden="false" customHeight="false" outlineLevel="0" collapsed="false">
      <c r="A22" s="4" t="s">
        <v>23</v>
      </c>
      <c r="B22" s="13" t="n">
        <f aca="false">B21-B15</f>
        <v>0.323154673745238</v>
      </c>
    </row>
    <row r="24" customFormat="false" ht="18" hidden="false" customHeight="true" outlineLevel="0" collapsed="false">
      <c r="A24" s="3" t="s">
        <v>24</v>
      </c>
      <c r="B24" s="3"/>
      <c r="C24" s="3"/>
      <c r="D24" s="3"/>
    </row>
    <row r="25" customFormat="false" ht="15" hidden="false" customHeight="false" outlineLevel="0" collapsed="false">
      <c r="A25" s="4" t="s">
        <v>25</v>
      </c>
      <c r="B25" s="11" t="n">
        <f aca="false">B6-1</f>
        <v>24</v>
      </c>
    </row>
    <row r="26" customFormat="false" ht="15" hidden="false" customHeight="false" outlineLevel="0" collapsed="false">
      <c r="A26" s="4" t="s">
        <v>26</v>
      </c>
      <c r="B26" s="11" t="n">
        <f aca="false">ROUND(B25*B7,0)</f>
        <v>8</v>
      </c>
    </row>
    <row r="27" customFormat="false" ht="15" hidden="false" customHeight="false" outlineLevel="0" collapsed="false">
      <c r="A27" s="4" t="s">
        <v>27</v>
      </c>
      <c r="B27" s="11" t="n">
        <f aca="false">B25-B26</f>
        <v>16</v>
      </c>
    </row>
  </sheetData>
  <mergeCells count="6">
    <mergeCell ref="A1:D1"/>
    <mergeCell ref="A4:D4"/>
    <mergeCell ref="A9:D9"/>
    <mergeCell ref="A13:D13"/>
    <mergeCell ref="A17:D1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28</v>
      </c>
      <c r="B1" s="1"/>
      <c r="C1" s="1"/>
      <c r="D1" s="1"/>
      <c r="E1" s="1"/>
    </row>
    <row r="3" customFormat="false" ht="15" hidden="false" customHeight="false" outlineLevel="0" collapsed="false">
      <c r="A3" s="14" t="s">
        <v>29</v>
      </c>
      <c r="B3" s="14" t="s">
        <v>30</v>
      </c>
      <c r="C3" s="14" t="s">
        <v>31</v>
      </c>
      <c r="D3" s="14" t="s">
        <v>32</v>
      </c>
      <c r="E3" s="14" t="s">
        <v>33</v>
      </c>
    </row>
    <row r="4" customFormat="false" ht="15" hidden="false" customHeight="false" outlineLevel="0" collapsed="false">
      <c r="A4" s="11" t="n">
        <v>1</v>
      </c>
      <c r="B4" s="12" t="n">
        <f aca="false">Overview!B10</f>
        <v>10</v>
      </c>
      <c r="C4" s="12" t="n">
        <f aca="false">B4</f>
        <v>10</v>
      </c>
      <c r="D4" s="15" t="n">
        <f aca="false">C4/INDEX($C$4:$C$33,Overview!$B$6-1)</f>
        <v>0.00542982962216216</v>
      </c>
      <c r="E4" s="9" t="n">
        <f aca="false">C4/(Overview!$B$14*Overview!$B$15)</f>
        <v>0.119047619047619</v>
      </c>
    </row>
    <row r="5" customFormat="false" ht="15" hidden="false" customHeight="false" outlineLevel="0" collapsed="false">
      <c r="A5" s="11" t="n">
        <v>2</v>
      </c>
      <c r="B5" s="12" t="n">
        <f aca="false">B4*Overview!B11</f>
        <v>11.5</v>
      </c>
      <c r="C5" s="12" t="n">
        <f aca="false">C4+B5</f>
        <v>21.5</v>
      </c>
      <c r="D5" s="15" t="n">
        <f aca="false">C5/INDEX($C$4:$C$33,Overview!$B$6-1)</f>
        <v>0.0116741336876486</v>
      </c>
      <c r="E5" s="9" t="n">
        <f aca="false">C5/(Overview!$B$14*Overview!$B$15)</f>
        <v>0.255952380952381</v>
      </c>
    </row>
    <row r="6" customFormat="false" ht="15" hidden="false" customHeight="false" outlineLevel="0" collapsed="false">
      <c r="A6" s="11" t="n">
        <v>3</v>
      </c>
      <c r="B6" s="12" t="n">
        <f aca="false">B5*Overview!B11</f>
        <v>13.225</v>
      </c>
      <c r="C6" s="12" t="n">
        <f aca="false">C5+B6</f>
        <v>34.725</v>
      </c>
      <c r="D6" s="15" t="n">
        <f aca="false">C6/INDEX($C$4:$C$33,Overview!$B$6-1)</f>
        <v>0.0188550833629581</v>
      </c>
      <c r="E6" s="9" t="n">
        <f aca="false">C6/(Overview!$B$14*Overview!$B$15)</f>
        <v>0.413392857142857</v>
      </c>
    </row>
    <row r="7" customFormat="false" ht="15" hidden="false" customHeight="false" outlineLevel="0" collapsed="false">
      <c r="A7" s="11" t="n">
        <v>4</v>
      </c>
      <c r="B7" s="12" t="n">
        <f aca="false">B6*Overview!B11</f>
        <v>15.20875</v>
      </c>
      <c r="C7" s="12" t="n">
        <f aca="false">C6+B7</f>
        <v>49.93375</v>
      </c>
      <c r="D7" s="15" t="n">
        <f aca="false">C7/INDEX($C$4:$C$33,Overview!$B$6-1)</f>
        <v>0.027113175489564</v>
      </c>
      <c r="E7" s="9" t="n">
        <f aca="false">C7/(Overview!$B$14*Overview!$B$15)</f>
        <v>0.594449404761905</v>
      </c>
    </row>
    <row r="8" customFormat="false" ht="15" hidden="false" customHeight="false" outlineLevel="0" collapsed="false">
      <c r="A8" s="11" t="n">
        <v>5</v>
      </c>
      <c r="B8" s="12" t="n">
        <f aca="false">B7*Overview!B11</f>
        <v>17.4900625</v>
      </c>
      <c r="C8" s="12" t="n">
        <f aca="false">C7+B8</f>
        <v>67.4238125</v>
      </c>
      <c r="D8" s="15" t="n">
        <f aca="false">C8/INDEX($C$4:$C$33,Overview!$B$6-1)</f>
        <v>0.0366099814351607</v>
      </c>
      <c r="E8" s="9" t="n">
        <f aca="false">C8/(Overview!$B$14*Overview!$B$15)</f>
        <v>0.80266443452381</v>
      </c>
    </row>
    <row r="9" customFormat="false" ht="15" hidden="false" customHeight="false" outlineLevel="0" collapsed="false">
      <c r="A9" s="11" t="n">
        <v>6</v>
      </c>
      <c r="B9" s="12" t="n">
        <f aca="false">B8*Overview!B11</f>
        <v>20.113571875</v>
      </c>
      <c r="C9" s="12" t="n">
        <f aca="false">C8+B9</f>
        <v>87.537384375</v>
      </c>
      <c r="D9" s="15" t="n">
        <f aca="false">C9/INDEX($C$4:$C$33,Overview!$B$6-1)</f>
        <v>0.047531308272597</v>
      </c>
      <c r="E9" s="9" t="n">
        <f aca="false">C9/(Overview!$B$14*Overview!$B$15)</f>
        <v>1.04211171875</v>
      </c>
    </row>
    <row r="10" customFormat="false" ht="15" hidden="false" customHeight="false" outlineLevel="0" collapsed="false">
      <c r="A10" s="11" t="n">
        <v>7</v>
      </c>
      <c r="B10" s="12" t="n">
        <f aca="false">B9*Overview!B11</f>
        <v>23.13060765625</v>
      </c>
      <c r="C10" s="12" t="n">
        <f aca="false">C9+B10</f>
        <v>110.66799203125</v>
      </c>
      <c r="D10" s="15" t="n">
        <f aca="false">C10/INDEX($C$4:$C$33,Overview!$B$6-1)</f>
        <v>0.0600908341356487</v>
      </c>
      <c r="E10" s="9" t="n">
        <f aca="false">C10/(Overview!$B$14*Overview!$B$15)</f>
        <v>1.31747609561012</v>
      </c>
    </row>
    <row r="11" customFormat="false" ht="15" hidden="false" customHeight="false" outlineLevel="0" collapsed="false">
      <c r="A11" s="11" t="n">
        <v>8</v>
      </c>
      <c r="B11" s="12" t="n">
        <f aca="false">B10*Overview!B11</f>
        <v>26.6001988046875</v>
      </c>
      <c r="C11" s="12" t="n">
        <f aca="false">C10+B11</f>
        <v>137.268190835937</v>
      </c>
      <c r="D11" s="15" t="n">
        <f aca="false">C11/INDEX($C$4:$C$33,Overview!$B$6-1)</f>
        <v>0.0745342888781582</v>
      </c>
      <c r="E11" s="9" t="n">
        <f aca="false">C11/(Overview!$B$14*Overview!$B$15)</f>
        <v>1.63414512899926</v>
      </c>
    </row>
    <row r="12" customFormat="false" ht="15" hidden="false" customHeight="false" outlineLevel="0" collapsed="false">
      <c r="A12" s="11" t="n">
        <v>9</v>
      </c>
      <c r="B12" s="12" t="n">
        <f aca="false">B11*Overview!B11</f>
        <v>30.5902286253906</v>
      </c>
      <c r="C12" s="12" t="n">
        <f aca="false">C11+B12</f>
        <v>167.858419461328</v>
      </c>
      <c r="D12" s="15" t="n">
        <f aca="false">C12/INDEX($C$4:$C$33,Overview!$B$6-1)</f>
        <v>0.0911442618320441</v>
      </c>
      <c r="E12" s="9" t="n">
        <f aca="false">C12/(Overview!$B$14*Overview!$B$15)</f>
        <v>1.99831451739676</v>
      </c>
    </row>
    <row r="13" customFormat="false" ht="15" hidden="false" customHeight="false" outlineLevel="0" collapsed="false">
      <c r="A13" s="11" t="n">
        <v>10</v>
      </c>
      <c r="B13" s="12" t="n">
        <f aca="false">B12*Overview!B11</f>
        <v>35.1787629191992</v>
      </c>
      <c r="C13" s="12" t="n">
        <f aca="false">C12+B13</f>
        <v>203.037182380527</v>
      </c>
      <c r="D13" s="15" t="n">
        <f aca="false">C13/INDEX($C$4:$C$33,Overview!$B$6-1)</f>
        <v>0.110245730729013</v>
      </c>
      <c r="E13" s="9" t="n">
        <f aca="false">C13/(Overview!$B$14*Overview!$B$15)</f>
        <v>2.4171093140539</v>
      </c>
    </row>
    <row r="14" customFormat="false" ht="15" hidden="false" customHeight="false" outlineLevel="0" collapsed="false">
      <c r="A14" s="11" t="n">
        <v>11</v>
      </c>
      <c r="B14" s="12" t="n">
        <f aca="false">B13*Overview!B11</f>
        <v>40.4555773570791</v>
      </c>
      <c r="C14" s="12" t="n">
        <f aca="false">C13+B14</f>
        <v>243.492759737606</v>
      </c>
      <c r="D14" s="15" t="n">
        <f aca="false">C14/INDEX($C$4:$C$33,Overview!$B$6-1)</f>
        <v>0.132212419960527</v>
      </c>
      <c r="E14" s="9" t="n">
        <f aca="false">C14/(Overview!$B$14*Overview!$B$15)</f>
        <v>2.8987233302096</v>
      </c>
    </row>
    <row r="15" customFormat="false" ht="15" hidden="false" customHeight="false" outlineLevel="0" collapsed="false">
      <c r="A15" s="11" t="n">
        <v>12</v>
      </c>
      <c r="B15" s="12" t="n">
        <f aca="false">B14*Overview!B11</f>
        <v>46.5239139606409</v>
      </c>
      <c r="C15" s="12" t="n">
        <f aca="false">C14+B15</f>
        <v>290.016673698247</v>
      </c>
      <c r="D15" s="15" t="n">
        <f aca="false">C15/INDEX($C$4:$C$33,Overview!$B$6-1)</f>
        <v>0.157474112576768</v>
      </c>
      <c r="E15" s="9" t="n">
        <f aca="false">C15/(Overview!$B$14*Overview!$B$15)</f>
        <v>3.45257944878866</v>
      </c>
    </row>
    <row r="16" customFormat="false" ht="15" hidden="false" customHeight="false" outlineLevel="0" collapsed="false">
      <c r="A16" s="11" t="n">
        <v>13</v>
      </c>
      <c r="B16" s="12" t="n">
        <f aca="false">B15*Overview!B11</f>
        <v>53.5025010547371</v>
      </c>
      <c r="C16" s="12" t="n">
        <f aca="false">C15+B16</f>
        <v>343.519174752984</v>
      </c>
      <c r="D16" s="15" t="n">
        <f aca="false">C16/INDEX($C$4:$C$33,Overview!$B$6-1)</f>
        <v>0.186525059085445</v>
      </c>
      <c r="E16" s="9" t="n">
        <f aca="false">C16/(Overview!$B$14*Overview!$B$15)</f>
        <v>4.08951398515458</v>
      </c>
    </row>
    <row r="17" customFormat="false" ht="15" hidden="false" customHeight="false" outlineLevel="0" collapsed="false">
      <c r="A17" s="11" t="n">
        <v>14</v>
      </c>
      <c r="B17" s="12" t="n">
        <f aca="false">B16*Overview!B11</f>
        <v>61.5278762129476</v>
      </c>
      <c r="C17" s="12" t="n">
        <f aca="false">C16+B17</f>
        <v>405.047050965932</v>
      </c>
      <c r="D17" s="15" t="n">
        <f aca="false">C17/INDEX($C$4:$C$33,Overview!$B$6-1)</f>
        <v>0.219933647570424</v>
      </c>
      <c r="E17" s="9" t="n">
        <f aca="false">C17/(Overview!$B$14*Overview!$B$15)</f>
        <v>4.82198870197538</v>
      </c>
    </row>
    <row r="18" customFormat="false" ht="15" hidden="false" customHeight="false" outlineLevel="0" collapsed="false">
      <c r="A18" s="11" t="n">
        <v>15</v>
      </c>
      <c r="B18" s="12" t="n">
        <f aca="false">B17*Overview!B11</f>
        <v>70.7570576448898</v>
      </c>
      <c r="C18" s="12" t="n">
        <f aca="false">C17+B18</f>
        <v>475.804108610822</v>
      </c>
      <c r="D18" s="15" t="n">
        <f aca="false">C18/INDEX($C$4:$C$33,Overview!$B$6-1)</f>
        <v>0.25835352432815</v>
      </c>
      <c r="E18" s="9" t="n">
        <f aca="false">C18/(Overview!$B$14*Overview!$B$15)</f>
        <v>5.66433462631931</v>
      </c>
    </row>
    <row r="19" customFormat="false" ht="15" hidden="false" customHeight="false" outlineLevel="0" collapsed="false">
      <c r="A19" s="11" t="n">
        <v>16</v>
      </c>
      <c r="B19" s="12" t="n">
        <f aca="false">B18*Overview!B11</f>
        <v>81.3706162916232</v>
      </c>
      <c r="C19" s="12" t="n">
        <f aca="false">C18+B19</f>
        <v>557.174724902445</v>
      </c>
      <c r="D19" s="15" t="n">
        <f aca="false">C19/INDEX($C$4:$C$33,Overview!$B$6-1)</f>
        <v>0.302536382599535</v>
      </c>
      <c r="E19" s="9" t="n">
        <f aca="false">C19/(Overview!$B$14*Overview!$B$15)</f>
        <v>6.63303243931482</v>
      </c>
    </row>
    <row r="20" customFormat="false" ht="15" hidden="false" customHeight="false" outlineLevel="0" collapsed="false">
      <c r="A20" s="11" t="n">
        <v>17</v>
      </c>
      <c r="B20" s="12" t="n">
        <f aca="false">B19*Overview!B11</f>
        <v>93.5762087353667</v>
      </c>
      <c r="C20" s="12" t="n">
        <f aca="false">C19+B20</f>
        <v>650.750933637812</v>
      </c>
      <c r="D20" s="15" t="n">
        <f aca="false">C20/INDEX($C$4:$C$33,Overview!$B$6-1)</f>
        <v>0.353346669611627</v>
      </c>
      <c r="E20" s="9" t="n">
        <f aca="false">C20/(Overview!$B$14*Overview!$B$15)</f>
        <v>7.74703492425967</v>
      </c>
    </row>
    <row r="21" customFormat="false" ht="15" hidden="false" customHeight="false" outlineLevel="0" collapsed="false">
      <c r="A21" s="11" t="n">
        <v>18</v>
      </c>
      <c r="B21" s="12" t="n">
        <f aca="false">B20*Overview!B11</f>
        <v>107.612640045672</v>
      </c>
      <c r="C21" s="12" t="n">
        <f aca="false">C20+B21</f>
        <v>758.363573683484</v>
      </c>
      <c r="D21" s="15" t="n">
        <f aca="false">C21/INDEX($C$4:$C$33,Overview!$B$6-1)</f>
        <v>0.411778499675534</v>
      </c>
      <c r="E21" s="9" t="n">
        <f aca="false">C21/(Overview!$B$14*Overview!$B$15)</f>
        <v>9.02813778194623</v>
      </c>
    </row>
    <row r="22" customFormat="false" ht="15" hidden="false" customHeight="false" outlineLevel="0" collapsed="false">
      <c r="A22" s="11" t="n">
        <v>19</v>
      </c>
      <c r="B22" s="12" t="n">
        <f aca="false">B21*Overview!B11</f>
        <v>123.754536052522</v>
      </c>
      <c r="C22" s="12" t="n">
        <f aca="false">C21+B22</f>
        <v>882.118109736006</v>
      </c>
      <c r="D22" s="15" t="n">
        <f aca="false">C22/INDEX($C$4:$C$33,Overview!$B$6-1)</f>
        <v>0.478975104249026</v>
      </c>
      <c r="E22" s="9" t="n">
        <f aca="false">C22/(Overview!$B$14*Overview!$B$15)</f>
        <v>10.5014060682858</v>
      </c>
    </row>
    <row r="23" customFormat="false" ht="15" hidden="false" customHeight="false" outlineLevel="0" collapsed="false">
      <c r="A23" s="11" t="n">
        <v>20</v>
      </c>
      <c r="B23" s="12" t="n">
        <f aca="false">B22*Overview!B11</f>
        <v>142.317716460401</v>
      </c>
      <c r="C23" s="12" t="n">
        <f aca="false">C22+B23</f>
        <v>1024.43582619641</v>
      </c>
      <c r="D23" s="15" t="n">
        <f aca="false">C23/INDEX($C$4:$C$33,Overview!$B$6-1)</f>
        <v>0.556251199508542</v>
      </c>
      <c r="E23" s="9" t="n">
        <f aca="false">C23/(Overview!$B$14*Overview!$B$15)</f>
        <v>12.1956645975763</v>
      </c>
    </row>
    <row r="24" customFormat="false" ht="15" hidden="false" customHeight="false" outlineLevel="0" collapsed="false">
      <c r="A24" s="11" t="n">
        <v>21</v>
      </c>
      <c r="B24" s="12" t="n">
        <f aca="false">B23*Overview!B11</f>
        <v>163.665373929461</v>
      </c>
      <c r="C24" s="12" t="n">
        <f aca="false">C23+B24</f>
        <v>1188.10120012587</v>
      </c>
      <c r="D24" s="15" t="n">
        <f aca="false">C24/INDEX($C$4:$C$33,Overview!$B$6-1)</f>
        <v>0.645118709056985</v>
      </c>
      <c r="E24" s="9" t="n">
        <f aca="false">C24/(Overview!$B$14*Overview!$B$15)</f>
        <v>14.1440619062603</v>
      </c>
    </row>
    <row r="25" customFormat="false" ht="15" hidden="false" customHeight="false" outlineLevel="0" collapsed="false">
      <c r="A25" s="11" t="n">
        <v>22</v>
      </c>
      <c r="B25" s="12" t="n">
        <f aca="false">B24*Overview!B11</f>
        <v>188.21518001888</v>
      </c>
      <c r="C25" s="12" t="n">
        <f aca="false">C24+B25</f>
        <v>1376.31638014475</v>
      </c>
      <c r="D25" s="15" t="n">
        <f aca="false">C25/INDEX($C$4:$C$33,Overview!$B$6-1)</f>
        <v>0.747316345037695</v>
      </c>
      <c r="E25" s="9" t="n">
        <f aca="false">C25/(Overview!$B$14*Overview!$B$15)</f>
        <v>16.384718811247</v>
      </c>
    </row>
    <row r="26" customFormat="false" ht="15" hidden="false" customHeight="false" outlineLevel="0" collapsed="false">
      <c r="A26" s="11" t="n">
        <v>23</v>
      </c>
      <c r="B26" s="12" t="n">
        <f aca="false">B25*Overview!B11</f>
        <v>216.447457021712</v>
      </c>
      <c r="C26" s="12" t="n">
        <f aca="false">C25+B26</f>
        <v>1592.76383716646</v>
      </c>
      <c r="D26" s="15" t="n">
        <f aca="false">C26/INDEX($C$4:$C$33,Overview!$B$6-1)</f>
        <v>0.864843626415511</v>
      </c>
      <c r="E26" s="9" t="n">
        <f aca="false">C26/(Overview!$B$14*Overview!$B$15)</f>
        <v>18.9614742519817</v>
      </c>
    </row>
    <row r="27" customFormat="false" ht="15" hidden="false" customHeight="false" outlineLevel="0" collapsed="false">
      <c r="A27" s="11" t="n">
        <v>24</v>
      </c>
      <c r="B27" s="12" t="n">
        <f aca="false">B26*Overview!B11</f>
        <v>248.914575574969</v>
      </c>
      <c r="C27" s="12" t="n">
        <f aca="false">C26+B27</f>
        <v>1841.67841274143</v>
      </c>
      <c r="D27" s="15" t="n">
        <f aca="false">C27/INDEX($C$4:$C$33,Overview!$B$6-1)</f>
        <v>1</v>
      </c>
      <c r="E27" s="9" t="n">
        <f aca="false">C27/(Overview!$B$14*Overview!$B$15)</f>
        <v>21.9247430088265</v>
      </c>
    </row>
    <row r="28" customFormat="false" ht="15" hidden="false" customHeight="false" outlineLevel="0" collapsed="false">
      <c r="A28" s="11" t="n">
        <v>25</v>
      </c>
      <c r="B28" s="12" t="n">
        <f aca="false">B27*Overview!B11</f>
        <v>286.251761911214</v>
      </c>
      <c r="C28" s="12" t="n">
        <f aca="false">C27+B28</f>
        <v>2127.93017465264</v>
      </c>
      <c r="D28" s="15" t="n">
        <f aca="false">C28/INDEX($C$4:$C$33,Overview!$B$6-1)</f>
        <v>1.15542982962216</v>
      </c>
      <c r="E28" s="9" t="n">
        <f aca="false">C28/(Overview!$B$14*Overview!$B$15)</f>
        <v>25.3325020791981</v>
      </c>
    </row>
    <row r="29" customFormat="false" ht="15" hidden="false" customHeight="false" outlineLevel="0" collapsed="false">
      <c r="A29" s="11" t="n">
        <v>26</v>
      </c>
      <c r="B29" s="12" t="n">
        <f aca="false">B28*Overview!B11</f>
        <v>329.189526197896</v>
      </c>
      <c r="C29" s="12" t="n">
        <f aca="false">C28+B29</f>
        <v>2457.11970085054</v>
      </c>
      <c r="D29" s="15" t="n">
        <f aca="false">C29/INDEX($C$4:$C$33,Overview!$B$6-1)</f>
        <v>1.33417413368765</v>
      </c>
      <c r="E29" s="9" t="n">
        <f aca="false">C29/(Overview!$B$14*Overview!$B$15)</f>
        <v>29.2514250101255</v>
      </c>
    </row>
    <row r="30" customFormat="false" ht="15" hidden="false" customHeight="false" outlineLevel="0" collapsed="false">
      <c r="A30" s="11" t="n">
        <v>27</v>
      </c>
      <c r="B30" s="12" t="n">
        <f aca="false">B29*Overview!B11</f>
        <v>378.567955127581</v>
      </c>
      <c r="C30" s="12" t="n">
        <f aca="false">C29+B30</f>
        <v>2835.68765597812</v>
      </c>
      <c r="D30" s="15" t="n">
        <f aca="false">C30/INDEX($C$4:$C$33,Overview!$B$6-1)</f>
        <v>1.53973008336296</v>
      </c>
      <c r="E30" s="9" t="n">
        <f aca="false">C30/(Overview!$B$14*Overview!$B$15)</f>
        <v>33.7581863806919</v>
      </c>
    </row>
    <row r="31" customFormat="false" ht="15" hidden="false" customHeight="false" outlineLevel="0" collapsed="false">
      <c r="A31" s="11" t="n">
        <v>28</v>
      </c>
      <c r="B31" s="12" t="n">
        <f aca="false">B30*Overview!B11</f>
        <v>435.353148396718</v>
      </c>
      <c r="C31" s="12" t="n">
        <f aca="false">C30+B31</f>
        <v>3271.04080437484</v>
      </c>
      <c r="D31" s="15" t="n">
        <f aca="false">C31/INDEX($C$4:$C$33,Overview!$B$6-1)</f>
        <v>1.77611942548956</v>
      </c>
      <c r="E31" s="9" t="n">
        <f aca="false">C31/(Overview!$B$14*Overview!$B$15)</f>
        <v>38.9409619568433</v>
      </c>
    </row>
    <row r="32" customFormat="false" ht="15" hidden="false" customHeight="false" outlineLevel="0" collapsed="false">
      <c r="A32" s="11" t="n">
        <v>29</v>
      </c>
      <c r="B32" s="12" t="n">
        <f aca="false">B31*Overview!B11</f>
        <v>500.656120656225</v>
      </c>
      <c r="C32" s="12" t="n">
        <f aca="false">C31+B32</f>
        <v>3771.69692503106</v>
      </c>
      <c r="D32" s="15" t="n">
        <f aca="false">C32/INDEX($C$4:$C$33,Overview!$B$6-1)</f>
        <v>2.04796716893516</v>
      </c>
      <c r="E32" s="9" t="n">
        <f aca="false">C32/(Overview!$B$14*Overview!$B$15)</f>
        <v>44.9011538694174</v>
      </c>
    </row>
    <row r="33" customFormat="false" ht="15" hidden="false" customHeight="false" outlineLevel="0" collapsed="false">
      <c r="A33" s="11" t="n">
        <v>30</v>
      </c>
      <c r="B33" s="12" t="n">
        <f aca="false">B32*Overview!B11</f>
        <v>575.754538754659</v>
      </c>
      <c r="C33" s="12" t="n">
        <f aca="false">C32+B33</f>
        <v>4347.45146378572</v>
      </c>
      <c r="D33" s="15" t="n">
        <f aca="false">C33/INDEX($C$4:$C$33,Overview!$B$6-1)</f>
        <v>2.3605920738976</v>
      </c>
      <c r="E33" s="9" t="n">
        <f aca="false">C33/(Overview!$B$14*Overview!$B$15)</f>
        <v>51.7553745688776</v>
      </c>
    </row>
    <row r="35" customFormat="false" ht="15" hidden="false" customHeight="false" outlineLevel="0" collapsed="false">
      <c r="A35" s="2" t="s">
        <v>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7" min="5" style="0" width="16"/>
  </cols>
  <sheetData>
    <row r="1" customFormat="false" ht="21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4" t="s">
        <v>37</v>
      </c>
      <c r="B4" s="14" t="s">
        <v>38</v>
      </c>
      <c r="C4" s="14" t="s">
        <v>31</v>
      </c>
      <c r="D4" s="14" t="s">
        <v>39</v>
      </c>
      <c r="E4" s="14" t="s">
        <v>40</v>
      </c>
      <c r="F4" s="14" t="s">
        <v>41</v>
      </c>
      <c r="G4" s="14" t="s">
        <v>42</v>
      </c>
    </row>
    <row r="5" customFormat="false" ht="15" hidden="false" customHeight="false" outlineLevel="0" collapsed="false">
      <c r="A5" s="11" t="n">
        <v>0</v>
      </c>
      <c r="B5" s="11" t="n">
        <f aca="false">A5*Overview!$B$14</f>
        <v>0</v>
      </c>
      <c r="C5" s="9" t="n">
        <f aca="false">B5*Overview!$B$15</f>
        <v>0</v>
      </c>
      <c r="D5" s="11" t="n">
        <f aca="false">IFERROR(MATCH(C5,'XP Curve'!$C$4:$C$33,1),1)</f>
        <v>1</v>
      </c>
      <c r="E5" s="12" t="n">
        <f aca="false">1+(A5/Overview!$B$5)*2</f>
        <v>1</v>
      </c>
      <c r="F5" s="12" t="n">
        <f aca="false">1+(A5/Overview!$B$5)^1.3*3</f>
        <v>1</v>
      </c>
      <c r="G5" s="12" t="n">
        <f aca="false">1+(A5/Overview!$B$5)*1</f>
        <v>1</v>
      </c>
    </row>
    <row r="6" customFormat="false" ht="15" hidden="false" customHeight="false" outlineLevel="0" collapsed="false">
      <c r="A6" s="11" t="n">
        <v>1</v>
      </c>
      <c r="B6" s="11" t="n">
        <f aca="false">A6*Overview!$B$14</f>
        <v>120</v>
      </c>
      <c r="C6" s="9" t="n">
        <f aca="false">B6*Overview!$B$15</f>
        <v>84</v>
      </c>
      <c r="D6" s="11" t="n">
        <f aca="false">IFERROR(MATCH(C6,'XP Curve'!$C$4:$C$33,1),1)</f>
        <v>5</v>
      </c>
      <c r="E6" s="12" t="n">
        <f aca="false">1+(A6/Overview!$B$5)*2</f>
        <v>1.13333333333333</v>
      </c>
      <c r="F6" s="12" t="n">
        <f aca="false">1+(A6/Overview!$B$5)^1.3*3</f>
        <v>1.08875700068634</v>
      </c>
      <c r="G6" s="12" t="n">
        <f aca="false">1+(A6/Overview!$B$5)*1</f>
        <v>1.06666666666667</v>
      </c>
    </row>
    <row r="7" customFormat="false" ht="15" hidden="false" customHeight="false" outlineLevel="0" collapsed="false">
      <c r="A7" s="11" t="n">
        <v>2</v>
      </c>
      <c r="B7" s="11" t="n">
        <f aca="false">A7*Overview!$B$14</f>
        <v>240</v>
      </c>
      <c r="C7" s="9" t="n">
        <f aca="false">B7*Overview!$B$15</f>
        <v>168</v>
      </c>
      <c r="D7" s="11" t="n">
        <f aca="false">IFERROR(MATCH(C7,'XP Curve'!$C$4:$C$33,1),1)</f>
        <v>9</v>
      </c>
      <c r="E7" s="12" t="n">
        <f aca="false">1+(A7/Overview!$B$5)*2</f>
        <v>1.26666666666667</v>
      </c>
      <c r="F7" s="12" t="n">
        <f aca="false">1+(A7/Overview!$B$5)^1.3*3</f>
        <v>1.21854537108046</v>
      </c>
      <c r="G7" s="12" t="n">
        <f aca="false">1+(A7/Overview!$B$5)*1</f>
        <v>1.13333333333333</v>
      </c>
    </row>
    <row r="8" customFormat="false" ht="15" hidden="false" customHeight="false" outlineLevel="0" collapsed="false">
      <c r="A8" s="11" t="n">
        <v>3</v>
      </c>
      <c r="B8" s="11" t="n">
        <f aca="false">A8*Overview!$B$14</f>
        <v>360</v>
      </c>
      <c r="C8" s="9" t="n">
        <f aca="false">B8*Overview!$B$15</f>
        <v>252</v>
      </c>
      <c r="D8" s="11" t="n">
        <f aca="false">IFERROR(MATCH(C8,'XP Curve'!$C$4:$C$33,1),1)</f>
        <v>11</v>
      </c>
      <c r="E8" s="12" t="n">
        <f aca="false">1+(A8/Overview!$B$5)*2</f>
        <v>1.4</v>
      </c>
      <c r="F8" s="12" t="n">
        <f aca="false">1+(A8/Overview!$B$5)^1.3*3</f>
        <v>1.37022031763201</v>
      </c>
      <c r="G8" s="12" t="n">
        <f aca="false">1+(A8/Overview!$B$5)*1</f>
        <v>1.2</v>
      </c>
    </row>
    <row r="9" customFormat="false" ht="15" hidden="false" customHeight="false" outlineLevel="0" collapsed="false">
      <c r="A9" s="11" t="n">
        <v>4</v>
      </c>
      <c r="B9" s="11" t="n">
        <f aca="false">A9*Overview!$B$14</f>
        <v>480</v>
      </c>
      <c r="C9" s="9" t="n">
        <f aca="false">B9*Overview!$B$15</f>
        <v>336</v>
      </c>
      <c r="D9" s="11" t="n">
        <f aca="false">IFERROR(MATCH(C9,'XP Curve'!$C$4:$C$33,1),1)</f>
        <v>12</v>
      </c>
      <c r="E9" s="12" t="n">
        <f aca="false">1+(A9/Overview!$B$5)*2</f>
        <v>1.53333333333333</v>
      </c>
      <c r="F9" s="12" t="n">
        <f aca="false">1+(A9/Overview!$B$5)^1.3*3</f>
        <v>1.53812182533621</v>
      </c>
      <c r="G9" s="12" t="n">
        <f aca="false">1+(A9/Overview!$B$5)*1</f>
        <v>1.26666666666667</v>
      </c>
    </row>
    <row r="10" customFormat="false" ht="15" hidden="false" customHeight="false" outlineLevel="0" collapsed="false">
      <c r="A10" s="11" t="n">
        <v>5</v>
      </c>
      <c r="B10" s="11" t="n">
        <f aca="false">A10*Overview!$B$14</f>
        <v>600</v>
      </c>
      <c r="C10" s="9" t="n">
        <f aca="false">B10*Overview!$B$15</f>
        <v>420</v>
      </c>
      <c r="D10" s="11" t="n">
        <f aca="false">IFERROR(MATCH(C10,'XP Curve'!$C$4:$C$33,1),1)</f>
        <v>14</v>
      </c>
      <c r="E10" s="12" t="n">
        <f aca="false">1+(A10/Overview!$B$5)*2</f>
        <v>1.66666666666667</v>
      </c>
      <c r="F10" s="12" t="n">
        <f aca="false">1+(A10/Overview!$B$5)^1.3*3</f>
        <v>1.71922309332486</v>
      </c>
      <c r="G10" s="12" t="n">
        <f aca="false">1+(A10/Overview!$B$5)*1</f>
        <v>1.33333333333333</v>
      </c>
    </row>
    <row r="11" customFormat="false" ht="15" hidden="false" customHeight="false" outlineLevel="0" collapsed="false">
      <c r="A11" s="11" t="n">
        <v>6</v>
      </c>
      <c r="B11" s="11" t="n">
        <f aca="false">A11*Overview!$B$14</f>
        <v>720</v>
      </c>
      <c r="C11" s="9" t="n">
        <f aca="false">B11*Overview!$B$15</f>
        <v>504</v>
      </c>
      <c r="D11" s="11" t="n">
        <f aca="false">IFERROR(MATCH(C11,'XP Curve'!$C$4:$C$33,1),1)</f>
        <v>15</v>
      </c>
      <c r="E11" s="12" t="n">
        <f aca="false">1+(A11/Overview!$B$5)*2</f>
        <v>1.8</v>
      </c>
      <c r="F11" s="12" t="n">
        <f aca="false">1+(A11/Overview!$B$5)^1.3*3</f>
        <v>1.91158935151885</v>
      </c>
      <c r="G11" s="12" t="n">
        <f aca="false">1+(A11/Overview!$B$5)*1</f>
        <v>1.4</v>
      </c>
    </row>
    <row r="12" customFormat="false" ht="15" hidden="false" customHeight="false" outlineLevel="0" collapsed="false">
      <c r="A12" s="11" t="n">
        <v>7</v>
      </c>
      <c r="B12" s="11" t="n">
        <f aca="false">A12*Overview!$B$14</f>
        <v>840</v>
      </c>
      <c r="C12" s="9" t="n">
        <f aca="false">B12*Overview!$B$15</f>
        <v>588</v>
      </c>
      <c r="D12" s="11" t="n">
        <f aca="false">IFERROR(MATCH(C12,'XP Curve'!$C$4:$C$33,1),1)</f>
        <v>16</v>
      </c>
      <c r="E12" s="12" t="n">
        <f aca="false">1+(A12/Overview!$B$5)*2</f>
        <v>1.93333333333333</v>
      </c>
      <c r="F12" s="12" t="n">
        <f aca="false">1+(A12/Overview!$B$5)^1.3*3</f>
        <v>2.11385861953751</v>
      </c>
      <c r="G12" s="12" t="n">
        <f aca="false">1+(A12/Overview!$B$5)*1</f>
        <v>1.46666666666667</v>
      </c>
    </row>
    <row r="13" customFormat="false" ht="15" hidden="false" customHeight="false" outlineLevel="0" collapsed="false">
      <c r="A13" s="11" t="n">
        <v>8</v>
      </c>
      <c r="B13" s="11" t="n">
        <f aca="false">A13*Overview!$B$14</f>
        <v>960</v>
      </c>
      <c r="C13" s="9" t="n">
        <f aca="false">B13*Overview!$B$15</f>
        <v>672</v>
      </c>
      <c r="D13" s="11" t="n">
        <f aca="false">IFERROR(MATCH(C13,'XP Curve'!$C$4:$C$33,1),1)</f>
        <v>17</v>
      </c>
      <c r="E13" s="12" t="n">
        <f aca="false">1+(A13/Overview!$B$5)*2</f>
        <v>2.06666666666667</v>
      </c>
      <c r="F13" s="12" t="n">
        <f aca="false">1+(A13/Overview!$B$5)^1.3*3</f>
        <v>2.32501135792329</v>
      </c>
      <c r="G13" s="12" t="n">
        <f aca="false">1+(A13/Overview!$B$5)*1</f>
        <v>1.53333333333333</v>
      </c>
    </row>
    <row r="14" customFormat="false" ht="15" hidden="false" customHeight="false" outlineLevel="0" collapsed="false">
      <c r="A14" s="11" t="n">
        <v>9</v>
      </c>
      <c r="B14" s="11" t="n">
        <f aca="false">A14*Overview!$B$14</f>
        <v>1080</v>
      </c>
      <c r="C14" s="9" t="n">
        <f aca="false">B14*Overview!$B$15</f>
        <v>756</v>
      </c>
      <c r="D14" s="11" t="n">
        <f aca="false">IFERROR(MATCH(C14,'XP Curve'!$C$4:$C$33,1),1)</f>
        <v>17</v>
      </c>
      <c r="E14" s="12" t="n">
        <f aca="false">1+(A14/Overview!$B$5)*2</f>
        <v>2.2</v>
      </c>
      <c r="F14" s="12" t="n">
        <f aca="false">1+(A14/Overview!$B$5)^1.3*3</f>
        <v>2.54425096079937</v>
      </c>
      <c r="G14" s="12" t="n">
        <f aca="false">1+(A14/Overview!$B$5)*1</f>
        <v>1.6</v>
      </c>
    </row>
    <row r="15" customFormat="false" ht="15" hidden="false" customHeight="false" outlineLevel="0" collapsed="false">
      <c r="A15" s="11" t="n">
        <v>10</v>
      </c>
      <c r="B15" s="11" t="n">
        <f aca="false">A15*Overview!$B$14</f>
        <v>1200</v>
      </c>
      <c r="C15" s="9" t="n">
        <f aca="false">B15*Overview!$B$15</f>
        <v>840</v>
      </c>
      <c r="D15" s="11" t="n">
        <f aca="false">IFERROR(MATCH(C15,'XP Curve'!$C$4:$C$33,1),1)</f>
        <v>18</v>
      </c>
      <c r="E15" s="12" t="n">
        <f aca="false">1+(A15/Overview!$B$5)*2</f>
        <v>2.33333333333333</v>
      </c>
      <c r="F15" s="12" t="n">
        <f aca="false">1+(A15/Overview!$B$5)^1.3*3</f>
        <v>2.77093498659111</v>
      </c>
      <c r="G15" s="12" t="n">
        <f aca="false">1+(A15/Overview!$B$5)*1</f>
        <v>1.66666666666667</v>
      </c>
    </row>
    <row r="16" customFormat="false" ht="15" hidden="false" customHeight="false" outlineLevel="0" collapsed="false">
      <c r="A16" s="11" t="n">
        <v>11</v>
      </c>
      <c r="B16" s="11" t="n">
        <f aca="false">A16*Overview!$B$14</f>
        <v>1320</v>
      </c>
      <c r="C16" s="9" t="n">
        <f aca="false">B16*Overview!$B$15</f>
        <v>924</v>
      </c>
      <c r="D16" s="11" t="n">
        <f aca="false">IFERROR(MATCH(C16,'XP Curve'!$C$4:$C$33,1),1)</f>
        <v>19</v>
      </c>
      <c r="E16" s="12" t="n">
        <f aca="false">1+(A16/Overview!$B$5)*2</f>
        <v>2.46666666666667</v>
      </c>
      <c r="F16" s="12" t="n">
        <f aca="false">1+(A16/Overview!$B$5)^1.3*3</f>
        <v>3.00453253083883</v>
      </c>
      <c r="G16" s="12" t="n">
        <f aca="false">1+(A16/Overview!$B$5)*1</f>
        <v>1.73333333333333</v>
      </c>
    </row>
    <row r="17" customFormat="false" ht="15" hidden="false" customHeight="false" outlineLevel="0" collapsed="false">
      <c r="A17" s="11" t="n">
        <v>12</v>
      </c>
      <c r="B17" s="11" t="n">
        <f aca="false">A17*Overview!$B$14</f>
        <v>1440</v>
      </c>
      <c r="C17" s="9" t="n">
        <f aca="false">B17*Overview!$B$15</f>
        <v>1008</v>
      </c>
      <c r="D17" s="11" t="n">
        <f aca="false">IFERROR(MATCH(C17,'XP Curve'!$C$4:$C$33,1),1)</f>
        <v>19</v>
      </c>
      <c r="E17" s="12" t="n">
        <f aca="false">1+(A17/Overview!$B$5)*2</f>
        <v>2.6</v>
      </c>
      <c r="F17" s="12" t="n">
        <f aca="false">1+(A17/Overview!$B$5)^1.3*3</f>
        <v>3.24459627477429</v>
      </c>
      <c r="G17" s="12" t="n">
        <f aca="false">1+(A17/Overview!$B$5)*1</f>
        <v>1.8</v>
      </c>
    </row>
    <row r="18" customFormat="false" ht="15" hidden="false" customHeight="false" outlineLevel="0" collapsed="false">
      <c r="A18" s="11" t="n">
        <v>13</v>
      </c>
      <c r="B18" s="11" t="n">
        <f aca="false">A18*Overview!$B$14</f>
        <v>1560</v>
      </c>
      <c r="C18" s="9" t="n">
        <f aca="false">B18*Overview!$B$15</f>
        <v>1092</v>
      </c>
      <c r="D18" s="11" t="n">
        <f aca="false">IFERROR(MATCH(C18,'XP Curve'!$C$4:$C$33,1),1)</f>
        <v>20</v>
      </c>
      <c r="E18" s="12" t="n">
        <f aca="false">1+(A18/Overview!$B$5)*2</f>
        <v>2.73333333333333</v>
      </c>
      <c r="F18" s="12" t="n">
        <f aca="false">1+(A18/Overview!$B$5)^1.3*3</f>
        <v>3.49074332976152</v>
      </c>
      <c r="G18" s="12" t="n">
        <f aca="false">1+(A18/Overview!$B$5)*1</f>
        <v>1.86666666666667</v>
      </c>
    </row>
    <row r="19" customFormat="false" ht="15" hidden="false" customHeight="false" outlineLevel="0" collapsed="false">
      <c r="A19" s="11" t="n">
        <v>14</v>
      </c>
      <c r="B19" s="11" t="n">
        <f aca="false">A19*Overview!$B$14</f>
        <v>1680</v>
      </c>
      <c r="C19" s="9" t="n">
        <f aca="false">B19*Overview!$B$15</f>
        <v>1176</v>
      </c>
      <c r="D19" s="11" t="n">
        <f aca="false">IFERROR(MATCH(C19,'XP Curve'!$C$4:$C$33,1),1)</f>
        <v>20</v>
      </c>
      <c r="E19" s="12" t="n">
        <f aca="false">1+(A19/Overview!$B$5)*2</f>
        <v>2.86666666666667</v>
      </c>
      <c r="F19" s="12" t="n">
        <f aca="false">1+(A19/Overview!$B$5)^1.3*3</f>
        <v>3.74264163339938</v>
      </c>
      <c r="G19" s="12" t="n">
        <f aca="false">1+(A19/Overview!$B$5)*1</f>
        <v>1.93333333333333</v>
      </c>
    </row>
    <row r="20" customFormat="false" ht="15" hidden="false" customHeight="false" outlineLevel="0" collapsed="false">
      <c r="A20" s="11" t="n">
        <v>15</v>
      </c>
      <c r="B20" s="11" t="n">
        <f aca="false">A20*Overview!$B$14</f>
        <v>1800</v>
      </c>
      <c r="C20" s="9" t="n">
        <f aca="false">B20*Overview!$B$15</f>
        <v>1260</v>
      </c>
      <c r="D20" s="11" t="n">
        <f aca="false">IFERROR(MATCH(C20,'XP Curve'!$C$4:$C$33,1),1)</f>
        <v>21</v>
      </c>
      <c r="E20" s="12" t="n">
        <f aca="false">1+(A20/Overview!$B$5)*2</f>
        <v>3</v>
      </c>
      <c r="F20" s="12" t="n">
        <f aca="false">1+(A20/Overview!$B$5)^1.3*3</f>
        <v>4</v>
      </c>
      <c r="G20" s="12" t="n">
        <f aca="false">1+(A20/Overview!$B$5)*1</f>
        <v>2</v>
      </c>
    </row>
    <row r="22" customFormat="false" ht="15" hidden="false" customHeight="false" outlineLevel="0" collapsed="false">
      <c r="A22" s="2" t="s">
        <v>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4" t="s">
        <v>45</v>
      </c>
      <c r="B3" s="14" t="s">
        <v>46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  <c r="H3" s="14" t="s">
        <v>52</v>
      </c>
    </row>
    <row r="4" customFormat="false" ht="15" hidden="false" customHeight="false" outlineLevel="0" collapsed="false">
      <c r="A4" s="16" t="s">
        <v>53</v>
      </c>
      <c r="B4" s="5" t="n">
        <v>20</v>
      </c>
      <c r="C4" s="5" t="n">
        <v>5</v>
      </c>
      <c r="D4" s="8" t="n">
        <v>3.5</v>
      </c>
      <c r="E4" s="8" t="n">
        <v>0.5</v>
      </c>
      <c r="F4" s="5" t="n">
        <v>60</v>
      </c>
      <c r="G4" s="8" t="n">
        <v>1.3</v>
      </c>
      <c r="H4" s="2" t="s">
        <v>54</v>
      </c>
    </row>
    <row r="5" customFormat="false" ht="15" hidden="false" customHeight="false" outlineLevel="0" collapsed="false">
      <c r="A5" s="16" t="s">
        <v>55</v>
      </c>
      <c r="B5" s="5" t="n">
        <v>15</v>
      </c>
      <c r="C5" s="5" t="n">
        <v>6</v>
      </c>
      <c r="D5" s="8" t="n">
        <v>2.8</v>
      </c>
      <c r="E5" s="8" t="n">
        <v>0.7</v>
      </c>
      <c r="F5" s="5" t="n">
        <v>20</v>
      </c>
      <c r="G5" s="8" t="n">
        <v>1.25</v>
      </c>
      <c r="H5" s="2" t="s">
        <v>56</v>
      </c>
    </row>
    <row r="6" customFormat="false" ht="15" hidden="false" customHeight="false" outlineLevel="0" collapsed="false">
      <c r="A6" s="16" t="s">
        <v>57</v>
      </c>
      <c r="B6" s="5" t="n">
        <v>25</v>
      </c>
      <c r="C6" s="5" t="n">
        <v>4</v>
      </c>
      <c r="D6" s="8" t="n">
        <v>2.2</v>
      </c>
      <c r="E6" s="8" t="n">
        <v>1</v>
      </c>
      <c r="F6" s="5" t="n">
        <v>12</v>
      </c>
      <c r="G6" s="8" t="n">
        <v>1.25</v>
      </c>
      <c r="H6" s="2" t="s">
        <v>58</v>
      </c>
    </row>
    <row r="7" customFormat="false" ht="15" hidden="false" customHeight="false" outlineLevel="0" collapsed="false">
      <c r="A7" s="16" t="s">
        <v>59</v>
      </c>
      <c r="B7" s="5" t="n">
        <v>80</v>
      </c>
      <c r="C7" s="5" t="n">
        <v>8</v>
      </c>
      <c r="D7" s="8" t="n">
        <v>3.2</v>
      </c>
      <c r="E7" s="8" t="n">
        <v>3</v>
      </c>
      <c r="F7" s="5" t="n">
        <v>7</v>
      </c>
      <c r="G7" s="8" t="n">
        <v>1.3</v>
      </c>
      <c r="H7" s="2" t="s">
        <v>60</v>
      </c>
    </row>
    <row r="8" customFormat="false" ht="15" hidden="false" customHeight="false" outlineLevel="0" collapsed="false">
      <c r="A8" s="16" t="s">
        <v>61</v>
      </c>
      <c r="B8" s="5" t="n">
        <v>800</v>
      </c>
      <c r="C8" s="5" t="n">
        <v>20</v>
      </c>
      <c r="D8" s="8" t="n">
        <v>2.5</v>
      </c>
      <c r="E8" s="8" t="n">
        <v>25</v>
      </c>
      <c r="F8" s="5" t="n">
        <v>1</v>
      </c>
      <c r="G8" s="8" t="n">
        <v>1.4</v>
      </c>
      <c r="H8" s="2" t="s">
        <v>62</v>
      </c>
    </row>
    <row r="10" customFormat="false" ht="15" hidden="false" customHeight="false" outlineLevel="0" collapsed="false">
      <c r="A10" s="4" t="s">
        <v>63</v>
      </c>
      <c r="B10" s="12" t="n">
        <f aca="false">SUMPRODUCT(E4:E8,F4:F8)/SUM(F4:F8)</f>
        <v>1.02</v>
      </c>
      <c r="D10" s="2" t="s">
        <v>64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  <col collapsed="false" customWidth="true" hidden="false" outlineLevel="0" max="7" min="7" style="0" width="40"/>
  </cols>
  <sheetData>
    <row r="1" customFormat="false" ht="21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14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</row>
    <row r="5" customFormat="false" ht="15" hidden="false" customHeight="false" outlineLevel="0" collapsed="false">
      <c r="A5" s="16" t="s">
        <v>73</v>
      </c>
      <c r="B5" s="6" t="n">
        <v>0.8</v>
      </c>
      <c r="C5" s="6" t="n">
        <v>0.18</v>
      </c>
      <c r="D5" s="6" t="n">
        <v>0.02</v>
      </c>
      <c r="E5" s="15" t="n">
        <f aca="false">1-Overview!$B$7</f>
        <v>0.667</v>
      </c>
      <c r="F5" s="15" t="n">
        <f aca="false">Overview!$B$7</f>
        <v>0.333</v>
      </c>
      <c r="G5" s="2" t="s">
        <v>74</v>
      </c>
    </row>
    <row r="6" customFormat="false" ht="15" hidden="false" customHeight="false" outlineLevel="0" collapsed="false">
      <c r="A6" s="16" t="s">
        <v>75</v>
      </c>
      <c r="B6" s="6" t="n">
        <v>0.55</v>
      </c>
      <c r="C6" s="6" t="n">
        <v>0.37</v>
      </c>
      <c r="D6" s="6" t="n">
        <v>0.08</v>
      </c>
      <c r="E6" s="15" t="n">
        <f aca="false">1-Overview!$B$7</f>
        <v>0.667</v>
      </c>
      <c r="F6" s="15" t="n">
        <f aca="false">Overview!$B$7</f>
        <v>0.333</v>
      </c>
      <c r="G6" s="2" t="s">
        <v>76</v>
      </c>
    </row>
    <row r="7" customFormat="false" ht="15" hidden="false" customHeight="false" outlineLevel="0" collapsed="false">
      <c r="A7" s="16" t="s">
        <v>77</v>
      </c>
      <c r="B7" s="6" t="n">
        <v>0.35</v>
      </c>
      <c r="C7" s="6" t="n">
        <v>0.45</v>
      </c>
      <c r="D7" s="6" t="n">
        <v>0.2</v>
      </c>
      <c r="E7" s="15" t="n">
        <f aca="false">1-Overview!$B$7</f>
        <v>0.667</v>
      </c>
      <c r="F7" s="15" t="n">
        <f aca="false">Overview!$B$7</f>
        <v>0.333</v>
      </c>
      <c r="G7" s="2" t="s">
        <v>78</v>
      </c>
    </row>
    <row r="10" customFormat="false" ht="15" hidden="false" customHeight="false" outlineLevel="0" collapsed="false">
      <c r="A10" s="4" t="s">
        <v>79</v>
      </c>
    </row>
    <row r="11" customFormat="false" ht="15" hidden="false" customHeight="false" outlineLevel="0" collapsed="false">
      <c r="A11" s="16" t="str">
        <f aca="false">A5</f>
        <v>Early (1-8)</v>
      </c>
      <c r="B11" s="15" t="n">
        <f aca="false">SUM(B5:D5)</f>
        <v>1</v>
      </c>
    </row>
    <row r="12" customFormat="false" ht="15" hidden="false" customHeight="false" outlineLevel="0" collapsed="false">
      <c r="A12" s="16" t="str">
        <f aca="false">A6</f>
        <v>Mid (9-16)</v>
      </c>
      <c r="B12" s="15" t="n">
        <f aca="false">SUM(B6:D6)</f>
        <v>1</v>
      </c>
    </row>
    <row r="13" customFormat="false" ht="15" hidden="false" customHeight="false" outlineLevel="0" collapsed="false">
      <c r="A13" s="16" t="str">
        <f aca="false">A7</f>
        <v>Late (17-25)</v>
      </c>
      <c r="B13" s="15" t="n">
        <f aca="false">SUM(B7:D7)</f>
        <v>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21.75" hidden="false" customHeight="true" outlineLevel="0" collapsed="false">
      <c r="A1" s="1" t="s">
        <v>80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14" t="s">
        <v>82</v>
      </c>
      <c r="B4" s="14" t="s">
        <v>83</v>
      </c>
      <c r="C4" s="14" t="s">
        <v>84</v>
      </c>
      <c r="D4" s="14" t="s">
        <v>85</v>
      </c>
      <c r="E4" s="14" t="s">
        <v>52</v>
      </c>
    </row>
    <row r="5" customFormat="false" ht="15" hidden="false" customHeight="false" outlineLevel="0" collapsed="false">
      <c r="A5" s="17" t="s">
        <v>86</v>
      </c>
      <c r="B5" s="17" t="s">
        <v>87</v>
      </c>
      <c r="C5" s="17" t="s">
        <v>88</v>
      </c>
      <c r="D5" s="17" t="s">
        <v>89</v>
      </c>
      <c r="E5" s="17" t="s">
        <v>90</v>
      </c>
    </row>
    <row r="6" customFormat="false" ht="15" hidden="false" customHeight="false" outlineLevel="0" collapsed="false">
      <c r="A6" s="17" t="s">
        <v>91</v>
      </c>
      <c r="B6" s="17" t="s">
        <v>87</v>
      </c>
      <c r="C6" s="17" t="s">
        <v>92</v>
      </c>
      <c r="D6" s="17" t="s">
        <v>93</v>
      </c>
      <c r="E6" s="17" t="s">
        <v>94</v>
      </c>
    </row>
    <row r="7" customFormat="false" ht="15" hidden="false" customHeight="false" outlineLevel="0" collapsed="false">
      <c r="A7" s="17" t="s">
        <v>95</v>
      </c>
      <c r="B7" s="17" t="s">
        <v>87</v>
      </c>
      <c r="C7" s="17" t="s">
        <v>96</v>
      </c>
      <c r="D7" s="17" t="s">
        <v>97</v>
      </c>
      <c r="E7" s="17" t="s">
        <v>98</v>
      </c>
    </row>
    <row r="8" customFormat="false" ht="15" hidden="false" customHeight="false" outlineLevel="0" collapsed="false">
      <c r="A8" s="17" t="s">
        <v>99</v>
      </c>
      <c r="B8" s="17" t="s">
        <v>87</v>
      </c>
      <c r="C8" s="17" t="s">
        <v>100</v>
      </c>
      <c r="D8" s="17" t="s">
        <v>101</v>
      </c>
      <c r="E8" s="17" t="s">
        <v>102</v>
      </c>
    </row>
    <row r="9" customFormat="false" ht="15" hidden="false" customHeight="false" outlineLevel="0" collapsed="false">
      <c r="A9" s="17" t="s">
        <v>103</v>
      </c>
      <c r="B9" s="17" t="s">
        <v>104</v>
      </c>
      <c r="C9" s="17" t="s">
        <v>105</v>
      </c>
      <c r="D9" s="17" t="s">
        <v>106</v>
      </c>
      <c r="E9" s="17" t="s">
        <v>107</v>
      </c>
    </row>
    <row r="10" customFormat="false" ht="15" hidden="false" customHeight="false" outlineLevel="0" collapsed="false">
      <c r="A10" s="17" t="s">
        <v>108</v>
      </c>
      <c r="B10" s="17" t="s">
        <v>104</v>
      </c>
      <c r="C10" s="17" t="s">
        <v>109</v>
      </c>
      <c r="D10" s="17" t="s">
        <v>110</v>
      </c>
      <c r="E10" s="17" t="s">
        <v>111</v>
      </c>
    </row>
    <row r="11" customFormat="false" ht="15" hidden="false" customHeight="false" outlineLevel="0" collapsed="false">
      <c r="A11" s="17" t="s">
        <v>112</v>
      </c>
      <c r="B11" s="17" t="s">
        <v>104</v>
      </c>
      <c r="C11" s="17" t="s">
        <v>113</v>
      </c>
      <c r="D11" s="17" t="s">
        <v>114</v>
      </c>
      <c r="E11" s="17" t="s">
        <v>115</v>
      </c>
    </row>
    <row r="12" customFormat="false" ht="15" hidden="false" customHeight="false" outlineLevel="0" collapsed="false">
      <c r="A12" s="17" t="s">
        <v>116</v>
      </c>
      <c r="B12" s="17" t="s">
        <v>104</v>
      </c>
      <c r="C12" s="17" t="s">
        <v>117</v>
      </c>
      <c r="D12" s="17" t="s">
        <v>118</v>
      </c>
      <c r="E12" s="17" t="s">
        <v>119</v>
      </c>
    </row>
    <row r="13" customFormat="false" ht="15" hidden="false" customHeight="false" outlineLevel="0" collapsed="false">
      <c r="A13" s="17" t="s">
        <v>120</v>
      </c>
      <c r="B13" s="17" t="s">
        <v>121</v>
      </c>
      <c r="C13" s="17" t="s">
        <v>122</v>
      </c>
      <c r="D13" s="17" t="s">
        <v>123</v>
      </c>
      <c r="E13" s="17" t="s">
        <v>124</v>
      </c>
    </row>
    <row r="14" customFormat="false" ht="15" hidden="false" customHeight="false" outlineLevel="0" collapsed="false">
      <c r="A14" s="17" t="s">
        <v>125</v>
      </c>
      <c r="B14" s="17" t="s">
        <v>121</v>
      </c>
      <c r="C14" s="17" t="s">
        <v>126</v>
      </c>
      <c r="D14" s="17" t="s">
        <v>127</v>
      </c>
      <c r="E14" s="17" t="s">
        <v>128</v>
      </c>
    </row>
    <row r="15" customFormat="false" ht="15" hidden="false" customHeight="false" outlineLevel="0" collapsed="false">
      <c r="A15" s="17" t="s">
        <v>129</v>
      </c>
      <c r="B15" s="17" t="s">
        <v>121</v>
      </c>
      <c r="C15" s="17" t="s">
        <v>130</v>
      </c>
      <c r="D15" s="17" t="s">
        <v>131</v>
      </c>
      <c r="E15" s="17" t="s">
        <v>132</v>
      </c>
    </row>
    <row r="16" customFormat="false" ht="15" hidden="false" customHeight="false" outlineLevel="0" collapsed="false">
      <c r="A16" s="17" t="s">
        <v>133</v>
      </c>
      <c r="B16" s="17" t="s">
        <v>121</v>
      </c>
      <c r="C16" s="17" t="s">
        <v>134</v>
      </c>
      <c r="D16" s="17" t="s">
        <v>135</v>
      </c>
      <c r="E16" s="17" t="s">
        <v>136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1" t="s">
        <v>137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14" t="s">
        <v>82</v>
      </c>
      <c r="B4" s="14" t="s">
        <v>83</v>
      </c>
      <c r="C4" s="14" t="s">
        <v>139</v>
      </c>
      <c r="D4" s="14" t="s">
        <v>140</v>
      </c>
      <c r="E4" s="14" t="s">
        <v>85</v>
      </c>
      <c r="F4" s="14" t="s">
        <v>52</v>
      </c>
    </row>
    <row r="5" customFormat="false" ht="15" hidden="false" customHeight="false" outlineLevel="0" collapsed="false">
      <c r="A5" s="17" t="s">
        <v>141</v>
      </c>
      <c r="B5" s="17" t="s">
        <v>104</v>
      </c>
      <c r="C5" s="17" t="s">
        <v>142</v>
      </c>
      <c r="D5" s="17" t="s">
        <v>143</v>
      </c>
      <c r="E5" s="17" t="s">
        <v>144</v>
      </c>
      <c r="F5" s="17" t="s">
        <v>145</v>
      </c>
    </row>
    <row r="6" customFormat="false" ht="15" hidden="false" customHeight="false" outlineLevel="0" collapsed="false">
      <c r="A6" s="17" t="s">
        <v>146</v>
      </c>
      <c r="B6" s="17" t="s">
        <v>104</v>
      </c>
      <c r="C6" s="17" t="s">
        <v>147</v>
      </c>
      <c r="D6" s="17"/>
      <c r="E6" s="17" t="s">
        <v>148</v>
      </c>
      <c r="F6" s="17" t="s">
        <v>149</v>
      </c>
    </row>
    <row r="7" customFormat="false" ht="15" hidden="false" customHeight="false" outlineLevel="0" collapsed="false">
      <c r="A7" s="17" t="s">
        <v>150</v>
      </c>
      <c r="B7" s="17" t="s">
        <v>104</v>
      </c>
      <c r="C7" s="17" t="s">
        <v>151</v>
      </c>
      <c r="D7" s="17"/>
      <c r="E7" s="17" t="s">
        <v>152</v>
      </c>
      <c r="F7" s="17" t="s">
        <v>153</v>
      </c>
    </row>
    <row r="8" customFormat="false" ht="15" hidden="false" customHeight="false" outlineLevel="0" collapsed="false">
      <c r="A8" s="17" t="s">
        <v>154</v>
      </c>
      <c r="B8" s="17" t="s">
        <v>104</v>
      </c>
      <c r="C8" s="17" t="s">
        <v>155</v>
      </c>
      <c r="D8" s="17" t="s">
        <v>156</v>
      </c>
      <c r="E8" s="17" t="s">
        <v>157</v>
      </c>
      <c r="F8" s="17" t="s">
        <v>158</v>
      </c>
    </row>
    <row r="9" customFormat="false" ht="15" hidden="false" customHeight="false" outlineLevel="0" collapsed="false">
      <c r="A9" s="17" t="s">
        <v>159</v>
      </c>
      <c r="B9" s="17" t="s">
        <v>121</v>
      </c>
      <c r="C9" s="17" t="s">
        <v>142</v>
      </c>
      <c r="D9" s="17" t="s">
        <v>160</v>
      </c>
      <c r="E9" s="17" t="s">
        <v>161</v>
      </c>
      <c r="F9" s="17" t="s">
        <v>162</v>
      </c>
    </row>
    <row r="10" customFormat="false" ht="15" hidden="false" customHeight="false" outlineLevel="0" collapsed="false">
      <c r="A10" s="17" t="s">
        <v>163</v>
      </c>
      <c r="B10" s="17" t="s">
        <v>121</v>
      </c>
      <c r="C10" s="17" t="s">
        <v>147</v>
      </c>
      <c r="D10" s="17" t="s">
        <v>164</v>
      </c>
      <c r="E10" s="17" t="s">
        <v>165</v>
      </c>
      <c r="F10" s="17" t="s">
        <v>166</v>
      </c>
    </row>
    <row r="11" customFormat="false" ht="15" hidden="false" customHeight="false" outlineLevel="0" collapsed="false">
      <c r="A11" s="17" t="s">
        <v>167</v>
      </c>
      <c r="B11" s="17" t="s">
        <v>121</v>
      </c>
      <c r="C11" s="17" t="s">
        <v>151</v>
      </c>
      <c r="D11" s="17" t="s">
        <v>168</v>
      </c>
      <c r="E11" s="17" t="s">
        <v>169</v>
      </c>
      <c r="F11" s="17" t="s">
        <v>170</v>
      </c>
    </row>
    <row r="12" customFormat="false" ht="15" hidden="false" customHeight="false" outlineLevel="0" collapsed="false">
      <c r="A12" s="17" t="s">
        <v>171</v>
      </c>
      <c r="B12" s="17" t="s">
        <v>121</v>
      </c>
      <c r="C12" s="17" t="s">
        <v>155</v>
      </c>
      <c r="D12" s="17" t="s">
        <v>172</v>
      </c>
      <c r="E12" s="17" t="s">
        <v>173</v>
      </c>
      <c r="F12" s="17" t="s">
        <v>174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2026-04-19T01:12:11Z</dcterms:created>
  <dc:creator>openpyxl</dc:creator>
  <dc:description/>
  <dc:language>en-US</dc:language>
  <cp:lastModifiedBy/>
  <dcterms:modified xsi:type="dcterms:W3CDTF">2026-04-19T01:12:11Z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